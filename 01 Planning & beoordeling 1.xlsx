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df\Downloads\"/>
    </mc:Choice>
  </mc:AlternateContent>
  <xr:revisionPtr revIDLastSave="0" documentId="13_ncr:1_{00778688-E6BD-4E0F-9436-253A63B0AE56}" xr6:coauthVersionLast="47" xr6:coauthVersionMax="47" xr10:uidLastSave="{00000000-0000-0000-0000-000000000000}"/>
  <bookViews>
    <workbookView xWindow="-120" yWindow="-120" windowWidth="29040" windowHeight="15720" activeTab="1" xr2:uid="{00000000-000D-0000-FFFF-FFFF00000000}"/>
  </bookViews>
  <sheets>
    <sheet name="Planning" sheetId="5" r:id="rId1"/>
    <sheet name="Rubrics" sheetId="6" r:id="rId2"/>
  </sheets>
  <definedNames>
    <definedName name="_xlnm.Print_Area" localSheetId="0">Planning!$A$1:$L$22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6" l="1"/>
  <c r="G6" i="6"/>
  <c r="G8" i="6"/>
  <c r="G10" i="6"/>
  <c r="G12" i="6"/>
  <c r="G14" i="6"/>
  <c r="G16" i="6"/>
  <c r="G18" i="6"/>
  <c r="G20" i="6"/>
  <c r="G22" i="6"/>
  <c r="G24" i="6"/>
  <c r="G26" i="6"/>
  <c r="B19" i="5" l="1"/>
</calcChain>
</file>

<file path=xl/sharedStrings.xml><?xml version="1.0" encoding="utf-8"?>
<sst xmlns="http://schemas.openxmlformats.org/spreadsheetml/2006/main" count="120" uniqueCount="95">
  <si>
    <t>Periode planning Reusable components</t>
  </si>
  <si>
    <t xml:space="preserve">   week nr</t>
  </si>
  <si>
    <t>Lesweek</t>
  </si>
  <si>
    <t>Dat</t>
  </si>
  <si>
    <t>Maandag</t>
  </si>
  <si>
    <t>Dinsdag</t>
  </si>
  <si>
    <t>Woensdag</t>
  </si>
  <si>
    <t>Donderdag</t>
  </si>
  <si>
    <t>Vrijdag</t>
  </si>
  <si>
    <t>Toetsweek</t>
  </si>
  <si>
    <r>
      <rPr>
        <b/>
        <sz val="6"/>
        <color rgb="FF000000"/>
        <rFont val="Arial"/>
        <family val="2"/>
      </rPr>
      <t xml:space="preserve">Les01
</t>
    </r>
    <r>
      <rPr>
        <sz val="6"/>
        <color rgb="FF000000"/>
        <rFont val="Arial"/>
        <family val="2"/>
      </rPr>
      <t>Kickoff</t>
    </r>
  </si>
  <si>
    <r>
      <rPr>
        <b/>
        <sz val="6"/>
        <color rgb="FF000000"/>
        <rFont val="Arial"/>
        <family val="2"/>
      </rPr>
      <t xml:space="preserve">Les02
</t>
    </r>
    <r>
      <rPr>
        <sz val="6"/>
        <color rgb="FF000000"/>
        <rFont val="Arial"/>
        <family val="2"/>
      </rPr>
      <t>Theorie 1</t>
    </r>
  </si>
  <si>
    <r>
      <rPr>
        <b/>
        <sz val="6"/>
        <rFont val="Arial"/>
        <family val="2"/>
      </rPr>
      <t>Les03</t>
    </r>
    <r>
      <rPr>
        <sz val="6"/>
        <rFont val="Arial"/>
        <family val="2"/>
      </rPr>
      <t xml:space="preserve">
Werken aan game + documentatie + 1 vraag p.p.</t>
    </r>
  </si>
  <si>
    <t>Meivakantie</t>
  </si>
  <si>
    <r>
      <rPr>
        <b/>
        <sz val="6"/>
        <color rgb="FF000000"/>
        <rFont val="Arial"/>
        <family val="2"/>
      </rPr>
      <t xml:space="preserve">Les01
</t>
    </r>
    <r>
      <rPr>
        <sz val="6"/>
        <color rgb="FF000000"/>
        <rFont val="Arial"/>
        <family val="2"/>
      </rPr>
      <t>Workshop workshop maken</t>
    </r>
  </si>
  <si>
    <t>Hemelvaartsdag</t>
  </si>
  <si>
    <t>Dag na Hemelvaart</t>
  </si>
  <si>
    <r>
      <rPr>
        <b/>
        <sz val="6"/>
        <rFont val="Arial"/>
        <family val="2"/>
      </rPr>
      <t>Les02</t>
    </r>
    <r>
      <rPr>
        <sz val="6"/>
        <rFont val="Arial"/>
        <family val="2"/>
      </rPr>
      <t xml:space="preserve">
Workshop maken</t>
    </r>
  </si>
  <si>
    <r>
      <rPr>
        <b/>
        <sz val="6"/>
        <rFont val="Arial"/>
        <family val="2"/>
      </rPr>
      <t>Les04</t>
    </r>
    <r>
      <rPr>
        <sz val="6"/>
        <rFont val="Arial"/>
        <family val="2"/>
      </rPr>
      <t xml:space="preserve">
Workshop maken</t>
    </r>
  </si>
  <si>
    <r>
      <rPr>
        <b/>
        <sz val="6"/>
        <rFont val="Arial"/>
        <family val="2"/>
      </rPr>
      <t>Les05</t>
    </r>
    <r>
      <rPr>
        <sz val="6"/>
        <rFont val="Arial"/>
        <family val="2"/>
      </rPr>
      <t xml:space="preserve">
Workshops en feedback</t>
    </r>
  </si>
  <si>
    <t>Tweede Pinksterdag</t>
  </si>
  <si>
    <r>
      <rPr>
        <b/>
        <sz val="6"/>
        <rFont val="Arial"/>
        <family val="2"/>
      </rPr>
      <t>Les04</t>
    </r>
    <r>
      <rPr>
        <sz val="6"/>
        <rFont val="Arial"/>
        <family val="2"/>
      </rPr>
      <t xml:space="preserve">
Recap + Theorie 2</t>
    </r>
  </si>
  <si>
    <r>
      <rPr>
        <b/>
        <sz val="6"/>
        <rFont val="Arial"/>
        <family val="2"/>
      </rPr>
      <t>Les05</t>
    </r>
    <r>
      <rPr>
        <sz val="6"/>
        <rFont val="Arial"/>
        <family val="2"/>
      </rPr>
      <t xml:space="preserve">
Werken aan game</t>
    </r>
  </si>
  <si>
    <r>
      <rPr>
        <b/>
        <sz val="6"/>
        <rFont val="Arial"/>
        <family val="2"/>
      </rPr>
      <t>Les06</t>
    </r>
    <r>
      <rPr>
        <sz val="6"/>
        <rFont val="Arial"/>
        <family val="2"/>
      </rPr>
      <t xml:space="preserve">
Theorie 3</t>
    </r>
  </si>
  <si>
    <r>
      <t xml:space="preserve">Les07
</t>
    </r>
    <r>
      <rPr>
        <sz val="6"/>
        <rFont val="Arial"/>
        <family val="2"/>
      </rPr>
      <t>Showcase 1</t>
    </r>
  </si>
  <si>
    <r>
      <t xml:space="preserve">Les08
</t>
    </r>
    <r>
      <rPr>
        <sz val="6"/>
        <rFont val="Arial"/>
        <family val="2"/>
      </rPr>
      <t>Werken aan game</t>
    </r>
  </si>
  <si>
    <r>
      <rPr>
        <b/>
        <sz val="6"/>
        <rFont val="Arial"/>
        <family val="2"/>
      </rPr>
      <t>Les09</t>
    </r>
    <r>
      <rPr>
        <sz val="6"/>
        <rFont val="Arial"/>
        <family val="2"/>
      </rPr>
      <t xml:space="preserve">
Theorie 4</t>
    </r>
  </si>
  <si>
    <r>
      <rPr>
        <b/>
        <sz val="6"/>
        <rFont val="Arial"/>
        <family val="2"/>
      </rPr>
      <t>Les10</t>
    </r>
    <r>
      <rPr>
        <sz val="6"/>
        <rFont val="Arial"/>
        <family val="2"/>
      </rPr>
      <t xml:space="preserve">
Showcase 2</t>
    </r>
  </si>
  <si>
    <r>
      <t xml:space="preserve">Les11
</t>
    </r>
    <r>
      <rPr>
        <sz val="6"/>
        <rFont val="Arial"/>
        <family val="2"/>
      </rPr>
      <t>Feedback verwerken</t>
    </r>
  </si>
  <si>
    <r>
      <t xml:space="preserve">Les12
</t>
    </r>
    <r>
      <rPr>
        <sz val="6"/>
        <rFont val="Arial"/>
        <family val="2"/>
      </rPr>
      <t>Werken aan game</t>
    </r>
  </si>
  <si>
    <r>
      <rPr>
        <b/>
        <sz val="6"/>
        <rFont val="Arial"/>
        <family val="2"/>
      </rPr>
      <t>Les13</t>
    </r>
    <r>
      <rPr>
        <sz val="6"/>
        <rFont val="Arial"/>
        <family val="2"/>
      </rPr>
      <t xml:space="preserve">
showcase 3</t>
    </r>
  </si>
  <si>
    <r>
      <rPr>
        <b/>
        <sz val="6"/>
        <rFont val="Arial"/>
        <family val="2"/>
      </rPr>
      <t>Les14</t>
    </r>
    <r>
      <rPr>
        <sz val="6"/>
        <rFont val="Arial"/>
        <family val="2"/>
      </rPr>
      <t xml:space="preserve">
Feedback verwerken</t>
    </r>
  </si>
  <si>
    <t>Zomervakantie</t>
  </si>
  <si>
    <t>Student:</t>
  </si>
  <si>
    <t>Dummison, Dummy</t>
  </si>
  <si>
    <t>Beoordeeld door:</t>
  </si>
  <si>
    <t>Kenneth van Beek</t>
  </si>
  <si>
    <t>Criteria</t>
  </si>
  <si>
    <t>Ontbreekt</t>
  </si>
  <si>
    <t>Incompleet</t>
  </si>
  <si>
    <t>Voldoende</t>
  </si>
  <si>
    <t>Goed</t>
  </si>
  <si>
    <t>Score</t>
  </si>
  <si>
    <t>Feedback:</t>
  </si>
  <si>
    <t>Player behaviour</t>
  </si>
  <si>
    <r>
      <t>Player behaviour kan NIET</t>
    </r>
    <r>
      <rPr>
        <sz val="9"/>
        <color rgb="FF000000"/>
        <rFont val="Calibri"/>
        <family val="2"/>
      </rPr>
      <t xml:space="preserve"> toegevoegd/omgeruild worden zoals beschreven in de criteria</t>
    </r>
  </si>
  <si>
    <r>
      <t xml:space="preserve">Player behaviour kan </t>
    </r>
    <r>
      <rPr>
        <b/>
        <sz val="9"/>
        <color rgb="FF000000"/>
        <rFont val="Calibri"/>
        <family val="2"/>
      </rPr>
      <t xml:space="preserve">WEL </t>
    </r>
    <r>
      <rPr>
        <sz val="9"/>
        <color rgb="FF000000"/>
        <rFont val="Calibri"/>
        <family val="2"/>
      </rPr>
      <t>toegevoegd/omgeruild worden zoals beschreven in de criteria</t>
    </r>
  </si>
  <si>
    <r>
      <t>Voldoende</t>
    </r>
    <r>
      <rPr>
        <sz val="9"/>
        <color rgb="FF000000"/>
        <rFont val="Calibri"/>
        <family val="2"/>
      </rPr>
      <t xml:space="preserve"> + intensief gebruikt en of voegt veel waarde toe aan de game.</t>
    </r>
  </si>
  <si>
    <t>Hergebruik components</t>
  </si>
  <si>
    <r>
      <t xml:space="preserve">Components zijn </t>
    </r>
    <r>
      <rPr>
        <b/>
        <sz val="9"/>
        <color rgb="FF000000"/>
        <rFont val="Calibri"/>
        <family val="2"/>
      </rPr>
      <t>MINDER</t>
    </r>
    <r>
      <rPr>
        <sz val="9"/>
        <color rgb="FF000000"/>
        <rFont val="Calibri"/>
        <family val="2"/>
      </rPr>
      <t xml:space="preserve"> dan 20 x hergebruikt</t>
    </r>
  </si>
  <si>
    <r>
      <t xml:space="preserve">Components zijn </t>
    </r>
    <r>
      <rPr>
        <b/>
        <sz val="9"/>
        <color rgb="FF000000"/>
        <rFont val="Calibri"/>
        <family val="2"/>
      </rPr>
      <t xml:space="preserve">MEER </t>
    </r>
    <r>
      <rPr>
        <sz val="9"/>
        <color rgb="FF000000"/>
        <rFont val="Calibri"/>
        <family val="2"/>
      </rPr>
      <t>dan 20 x hergebruikt</t>
    </r>
  </si>
  <si>
    <t>Components zijn MEER dan 30 x hergebruikt</t>
  </si>
  <si>
    <t>Component variaties</t>
  </si>
  <si>
    <r>
      <t xml:space="preserve">MINDER </t>
    </r>
    <r>
      <rPr>
        <sz val="9"/>
        <color rgb="FF000000"/>
        <rFont val="Calibri"/>
        <family val="2"/>
      </rPr>
      <t>dan 2 interfaces</t>
    </r>
    <r>
      <rPr>
        <b/>
        <sz val="9"/>
        <color rgb="FF000000"/>
        <rFont val="Calibri"/>
        <family val="2"/>
      </rPr>
      <t xml:space="preserve">
MINDER</t>
    </r>
    <r>
      <rPr>
        <sz val="9"/>
        <color rgb="FF000000"/>
        <rFont val="Calibri"/>
        <family val="2"/>
      </rPr>
      <t xml:space="preserve"> dan twee variatie components per interface</t>
    </r>
  </si>
  <si>
    <r>
      <t xml:space="preserve">MINSTENS </t>
    </r>
    <r>
      <rPr>
        <sz val="9"/>
        <color rgb="FF000000"/>
        <rFont val="Calibri"/>
        <family val="2"/>
      </rPr>
      <t>2 interfaces</t>
    </r>
    <r>
      <rPr>
        <b/>
        <sz val="9"/>
        <color rgb="FF000000"/>
        <rFont val="Calibri"/>
        <family val="2"/>
      </rPr>
      <t xml:space="preserve">
MINSTENS</t>
    </r>
    <r>
      <rPr>
        <sz val="9"/>
        <color rgb="FF000000"/>
        <rFont val="Calibri"/>
        <family val="2"/>
      </rPr>
      <t xml:space="preserve"> twee variatie components per interface</t>
    </r>
  </si>
  <si>
    <r>
      <t xml:space="preserve">MINSTENS </t>
    </r>
    <r>
      <rPr>
        <sz val="9"/>
        <color rgb="FF000000"/>
        <rFont val="Calibri"/>
        <family val="2"/>
      </rPr>
      <t>3 interfaces</t>
    </r>
    <r>
      <rPr>
        <b/>
        <sz val="9"/>
        <color rgb="FF000000"/>
        <rFont val="Calibri"/>
        <family val="2"/>
      </rPr>
      <t xml:space="preserve">
MINSTENS</t>
    </r>
    <r>
      <rPr>
        <sz val="9"/>
        <color rgb="FF000000"/>
        <rFont val="Calibri"/>
        <family val="2"/>
      </rPr>
      <t xml:space="preserve"> twee variatie components per interface</t>
    </r>
  </si>
  <si>
    <t>Events</t>
  </si>
  <si>
    <t>De game bevat geen events</t>
  </si>
  <si>
    <t>De game bevat events.</t>
  </si>
  <si>
    <t xml:space="preserve">De game bevat components die door middel van events meer Reusable zijn geworden. </t>
  </si>
  <si>
    <t>Clean Code</t>
  </si>
  <si>
    <t>Niet alle Clean Code criteria zijn verwerkt</t>
  </si>
  <si>
    <t>Alle Clean Code criteria zijn verwerkt</t>
  </si>
  <si>
    <r>
      <t>Voldoende</t>
    </r>
    <r>
      <rPr>
        <sz val="9"/>
        <color rgb="FF000000"/>
        <rFont val="Calibri"/>
        <family val="2"/>
      </rPr>
      <t xml:space="preserve"> + </t>
    </r>
    <r>
      <rPr>
        <b/>
        <sz val="9"/>
        <color rgb="FF7030A0"/>
        <rFont val="Calibri"/>
        <family val="2"/>
      </rPr>
      <t>(Extra criteria)</t>
    </r>
    <r>
      <rPr>
        <sz val="9"/>
        <color rgb="FF000000"/>
        <rFont val="Calibri"/>
        <family val="2"/>
      </rPr>
      <t xml:space="preserve"> zijn verwerkt</t>
    </r>
  </si>
  <si>
    <t>User Story A1</t>
  </si>
  <si>
    <r>
      <t xml:space="preserve">User Story voldoet </t>
    </r>
    <r>
      <rPr>
        <b/>
        <sz val="9"/>
        <color rgb="FF000000"/>
        <rFont val="Calibri"/>
        <family val="2"/>
      </rPr>
      <t>NIET</t>
    </r>
    <r>
      <rPr>
        <sz val="9"/>
        <color rgb="FF000000"/>
        <rFont val="Calibri"/>
        <family val="2"/>
      </rPr>
      <t xml:space="preserve"> aan alle Acceptatie criteria</t>
    </r>
  </si>
  <si>
    <t>User Story voldoet aan alle Acceptatiecriteria</t>
  </si>
  <si>
    <r>
      <t>Voldoende</t>
    </r>
    <r>
      <rPr>
        <sz val="9"/>
        <color rgb="FF000000"/>
        <rFont val="Calibri"/>
        <family val="2"/>
      </rPr>
      <t xml:space="preserve"> + voldoet aan alle </t>
    </r>
    <r>
      <rPr>
        <b/>
        <sz val="9"/>
        <color rgb="FF7030A0"/>
        <rFont val="Calibri"/>
        <family val="2"/>
      </rPr>
      <t>(Extra criteria)</t>
    </r>
  </si>
  <si>
    <t>User Story A2</t>
  </si>
  <si>
    <r>
      <t>Voldoende</t>
    </r>
    <r>
      <rPr>
        <sz val="9"/>
        <color rgb="FF000000"/>
        <rFont val="Calibri"/>
        <family val="2"/>
      </rPr>
      <t xml:space="preserve"> + voldoet aan alle </t>
    </r>
    <r>
      <rPr>
        <b/>
        <sz val="9"/>
        <color rgb="FF7030A0"/>
        <rFont val="Calibri"/>
        <family val="2"/>
      </rPr>
      <t>(Extra criteria)</t>
    </r>
    <r>
      <rPr>
        <sz val="9"/>
        <color rgb="FF000000"/>
        <rFont val="Calibri"/>
        <family val="2"/>
      </rPr>
      <t xml:space="preserve"> </t>
    </r>
  </si>
  <si>
    <t>User Story A3</t>
  </si>
  <si>
    <t>Portfolio Item</t>
  </si>
  <si>
    <r>
      <t xml:space="preserve">Portfolio eisen voldoen </t>
    </r>
    <r>
      <rPr>
        <b/>
        <sz val="9"/>
        <color rgb="FF000000"/>
        <rFont val="Calibri"/>
        <family val="2"/>
      </rPr>
      <t>NIET</t>
    </r>
    <r>
      <rPr>
        <sz val="9"/>
        <color rgb="FF000000"/>
        <rFont val="Calibri"/>
        <family val="2"/>
      </rPr>
      <t xml:space="preserve"> aan alle eisen onder het kopje “Voldoende”</t>
    </r>
  </si>
  <si>
    <t>Portfolio eisen voldoen aan alle eisen onder het kopje “Voldoende”</t>
  </si>
  <si>
    <t>Portfolio eisen voldoen aan alle eisen onder het kopje “Voldoende” en “Goed”</t>
  </si>
  <si>
    <t>Reflectie Verslag</t>
  </si>
  <si>
    <r>
      <t>Niet</t>
    </r>
    <r>
      <rPr>
        <sz val="9"/>
        <color rgb="FF000000"/>
        <rFont val="Calibri"/>
        <family val="2"/>
      </rPr>
      <t xml:space="preserve"> op 5 punten gereflecteerd  + procesreflectie</t>
    </r>
  </si>
  <si>
    <t>Op 5 punten gereflecteerd  + procesreflectie</t>
  </si>
  <si>
    <t>Diepgaand op 5 punten gereflecteerd  + procesreflectie + verbetervoorstel</t>
  </si>
  <si>
    <t>Beoordeling ingevuld</t>
  </si>
  <si>
    <r>
      <t>Beoordeling is</t>
    </r>
    <r>
      <rPr>
        <b/>
        <sz val="9"/>
        <color rgb="FF000000"/>
        <rFont val="Calibri"/>
        <family val="2"/>
      </rPr>
      <t xml:space="preserve"> niet compleet</t>
    </r>
    <r>
      <rPr>
        <sz val="9"/>
        <color rgb="FF000000"/>
        <rFont val="Calibri"/>
        <family val="2"/>
      </rPr>
      <t xml:space="preserve"> ingevuld</t>
    </r>
  </si>
  <si>
    <t>Beoordeling is compleet ingevuld, maar feedback ontbreekt</t>
  </si>
  <si>
    <t>Beoordeling is compleet ingevuld en voorzien van feedback</t>
  </si>
  <si>
    <t>Eindbeoordeling:</t>
  </si>
  <si>
    <t>De Components die worden hergebruikt staan op de enemie prefabs en een paar op de player. Dit zijn HealthComponent, FactionComponent, EnemyAI, Enemy Navigator, EnemyStateMachine, Enemy Visuals, Projectile hit, RangedAttackBehaviour en ArmoredComponent (4+4+3+3+3+3+1+1+1=23)</t>
  </si>
  <si>
    <t>Er zijn 10 Interfaces toegevoegd. Icharacterswitchobserver word 2x gebruikt, Ifinisher word 2x gebruikt, Ihittable word 3x Gebruikt, Iattacler word 3x Gebruikt, ImovementAbility word  2x gebruikt</t>
  </si>
  <si>
    <t>XPSystem, Winconditionmanager luister naar een event in healthcomponent, Healthcomponent heeft meerdere events, Playerinputhandler en Playercombathandler subscriben veel op events</t>
  </si>
  <si>
    <t>Er zitten skill cards in de game die je nieuwe opties geeft in tijden van een gevecht</t>
  </si>
  <si>
    <t>Clean code is prima toegepast. Pascall casing en camel casing, alleen geen comments</t>
  </si>
  <si>
    <t>Speler kan niet terug tijdens het spelen naar het menu</t>
  </si>
  <si>
    <t>De Speler kan helaas nog van de map lopen waardoor hij niet terug kan naar het level en zou hij de game opnieuw moeten opstarten</t>
  </si>
  <si>
    <t>Er is geen feedback over wat het doel is en wat er van hem verwacht word</t>
  </si>
  <si>
    <t>Geen duidelijke code snippets en of uitleg</t>
  </si>
  <si>
    <t>Goed gereflecteerd op proces, product en feedback</t>
  </si>
  <si>
    <t>Alles ingevuld met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</si>
</sst>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numFmts>
  <fonts count="28" x14ac:knownFonts="1">
    <font>
      <sz val="10"/>
      <name val="Arial"/>
      <family val="2"/>
    </font>
    <font>
      <sz val="11"/>
      <color theme="1"/>
      <name val="Calibri"/>
      <family val="2"/>
      <scheme val="minor"/>
    </font>
    <font>
      <b/>
      <sz val="10"/>
      <name val="Arial"/>
      <family val="2"/>
    </font>
    <font>
      <sz val="7"/>
      <name val="Arial"/>
      <family val="2"/>
    </font>
    <font>
      <sz val="8"/>
      <name val="Arial"/>
      <family val="2"/>
    </font>
    <font>
      <b/>
      <sz val="7"/>
      <name val="Arial"/>
      <family val="2"/>
    </font>
    <font>
      <sz val="10"/>
      <name val="Open Sans"/>
      <family val="2"/>
    </font>
    <font>
      <b/>
      <sz val="12"/>
      <name val="Arial"/>
      <family val="2"/>
    </font>
    <font>
      <b/>
      <sz val="6"/>
      <name val="Arial"/>
      <family val="2"/>
    </font>
    <font>
      <sz val="6"/>
      <name val="Arial"/>
      <family val="2"/>
    </font>
    <font>
      <b/>
      <sz val="6"/>
      <name val="Calibri"/>
      <family val="2"/>
      <scheme val="minor"/>
    </font>
    <font>
      <sz val="6"/>
      <color rgb="FF000000"/>
      <name val="Arial"/>
      <family val="2"/>
    </font>
    <font>
      <b/>
      <sz val="6"/>
      <color rgb="FF000000"/>
      <name val="Arial"/>
      <family val="2"/>
    </font>
    <font>
      <sz val="6"/>
      <name val="Calibri"/>
      <family val="2"/>
      <scheme val="minor"/>
    </font>
    <font>
      <b/>
      <sz val="9"/>
      <color rgb="FFFFFFFF"/>
      <name val="Calibri"/>
      <family val="2"/>
    </font>
    <font>
      <sz val="9"/>
      <color rgb="FFFFFFFF"/>
      <name val="Calibri"/>
      <family val="2"/>
    </font>
    <font>
      <b/>
      <sz val="9"/>
      <color rgb="FFC00000"/>
      <name val="Calibri"/>
      <family val="2"/>
    </font>
    <font>
      <b/>
      <sz val="9"/>
      <color rgb="FFFFC000"/>
      <name val="Calibri"/>
      <family val="2"/>
    </font>
    <font>
      <b/>
      <sz val="9"/>
      <color theme="9" tint="-0.249977111117893"/>
      <name val="Calibri"/>
      <family val="2"/>
    </font>
    <font>
      <b/>
      <sz val="9"/>
      <color theme="0"/>
      <name val="Calibri"/>
      <family val="2"/>
    </font>
    <font>
      <b/>
      <sz val="9"/>
      <color rgb="FF000000"/>
      <name val="Calibri"/>
      <family val="2"/>
    </font>
    <font>
      <sz val="9"/>
      <color rgb="FF000000"/>
      <name val="Calibri"/>
      <family val="2"/>
    </font>
    <font>
      <b/>
      <sz val="9"/>
      <color rgb="FF00B050"/>
      <name val="Calibri"/>
      <family val="2"/>
    </font>
    <font>
      <sz val="9"/>
      <color theme="1"/>
      <name val="Calibri"/>
      <family val="2"/>
      <scheme val="minor"/>
    </font>
    <font>
      <sz val="9"/>
      <color rgb="FFC00000"/>
      <name val="Calibri"/>
      <family val="2"/>
    </font>
    <font>
      <sz val="9"/>
      <color rgb="FFFFC000"/>
      <name val="Calibri"/>
      <family val="2"/>
    </font>
    <font>
      <b/>
      <sz val="9"/>
      <color rgb="FF7030A0"/>
      <name val="Calibri"/>
      <family val="2"/>
    </font>
    <font>
      <b/>
      <sz val="9"/>
      <color theme="1"/>
      <name val="Calibri"/>
      <family val="2"/>
      <scheme val="minor"/>
    </font>
  </fonts>
  <fills count="1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CC00"/>
        <bgColor indexed="64"/>
      </patternFill>
    </fill>
    <fill>
      <patternFill patternType="solid">
        <fgColor theme="5" tint="0.59999389629810485"/>
        <bgColor rgb="FF000000"/>
      </patternFill>
    </fill>
    <fill>
      <patternFill patternType="solid">
        <fgColor theme="5" tint="0.79998168889431442"/>
        <bgColor rgb="FF000000"/>
      </patternFill>
    </fill>
    <fill>
      <patternFill patternType="solid">
        <fgColor theme="6" tint="0.39997558519241921"/>
        <bgColor rgb="FF000000"/>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89999084444715716"/>
        <bgColor indexed="64"/>
      </patternFill>
    </fill>
    <fill>
      <patternFill patternType="solid">
        <fgColor rgb="FF76A5AF"/>
        <bgColor indexed="64"/>
      </patternFill>
    </fill>
    <fill>
      <patternFill patternType="solid">
        <fgColor rgb="FFC0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s>
  <cellStyleXfs count="2">
    <xf numFmtId="0" fontId="0" fillId="0" borderId="0"/>
    <xf numFmtId="0" fontId="1" fillId="0" borderId="0"/>
  </cellStyleXfs>
  <cellXfs count="115">
    <xf numFmtId="0" fontId="0" fillId="0" borderId="0" xfId="0"/>
    <xf numFmtId="0" fontId="0" fillId="2" borderId="0" xfId="0" applyFill="1"/>
    <xf numFmtId="0" fontId="3" fillId="0" borderId="0" xfId="0" applyFont="1"/>
    <xf numFmtId="0" fontId="3" fillId="0" borderId="0" xfId="0" applyFont="1" applyAlignment="1">
      <alignment horizontal="center" vertical="center" wrapText="1"/>
    </xf>
    <xf numFmtId="0" fontId="4" fillId="0" borderId="0" xfId="0" applyFont="1" applyAlignment="1">
      <alignment vertical="center"/>
    </xf>
    <xf numFmtId="0" fontId="4" fillId="0" borderId="0" xfId="0" applyFont="1"/>
    <xf numFmtId="0" fontId="6" fillId="0" borderId="0" xfId="0" applyFont="1" applyAlignment="1">
      <alignment vertical="center"/>
    </xf>
    <xf numFmtId="0" fontId="0" fillId="0" borderId="0" xfId="0" applyAlignment="1">
      <alignment vertical="center"/>
    </xf>
    <xf numFmtId="0" fontId="2" fillId="2" borderId="0" xfId="0" applyFont="1" applyFill="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top" wrapText="1"/>
    </xf>
    <xf numFmtId="0" fontId="4" fillId="0" borderId="0" xfId="0" applyFont="1" applyAlignment="1">
      <alignment horizontal="center"/>
    </xf>
    <xf numFmtId="0" fontId="4" fillId="2" borderId="0" xfId="0" applyFont="1" applyFill="1" applyAlignment="1">
      <alignment horizontal="center" vertical="center"/>
    </xf>
    <xf numFmtId="0" fontId="3" fillId="2" borderId="0" xfId="0" applyFont="1" applyFill="1"/>
    <xf numFmtId="0" fontId="5" fillId="0" borderId="0" xfId="0" applyFont="1" applyAlignment="1">
      <alignment vertical="center"/>
    </xf>
    <xf numFmtId="164" fontId="9" fillId="0" borderId="0" xfId="0" applyNumberFormat="1" applyFont="1" applyAlignment="1">
      <alignment horizontal="center"/>
    </xf>
    <xf numFmtId="164" fontId="9" fillId="2" borderId="0" xfId="0" applyNumberFormat="1" applyFont="1" applyFill="1" applyAlignment="1">
      <alignment horizontal="center" vertical="center"/>
    </xf>
    <xf numFmtId="164" fontId="10" fillId="3" borderId="9" xfId="0" applyNumberFormat="1" applyFont="1" applyFill="1" applyBorder="1" applyAlignment="1">
      <alignment horizontal="center" vertical="center"/>
    </xf>
    <xf numFmtId="16" fontId="9" fillId="9" borderId="1" xfId="0" applyNumberFormat="1" applyFont="1" applyFill="1" applyBorder="1" applyAlignment="1">
      <alignment horizontal="center" vertical="center" wrapText="1"/>
    </xf>
    <xf numFmtId="16" fontId="9" fillId="0" borderId="1" xfId="0" applyNumberFormat="1" applyFont="1" applyBorder="1" applyAlignment="1">
      <alignment horizontal="center" vertical="center" wrapText="1"/>
    </xf>
    <xf numFmtId="16" fontId="9" fillId="7" borderId="1" xfId="0" applyNumberFormat="1" applyFont="1" applyFill="1" applyBorder="1" applyAlignment="1">
      <alignment horizontal="center" vertical="center" wrapText="1"/>
    </xf>
    <xf numFmtId="164" fontId="9" fillId="0" borderId="0" xfId="0" applyNumberFormat="1" applyFont="1" applyAlignment="1">
      <alignment horizontal="center" vertical="center" wrapText="1"/>
    </xf>
    <xf numFmtId="164" fontId="9" fillId="0" borderId="0" xfId="0" applyNumberFormat="1" applyFont="1" applyAlignment="1">
      <alignment horizontal="center" vertical="center"/>
    </xf>
    <xf numFmtId="164" fontId="9" fillId="0" borderId="0" xfId="0" applyNumberFormat="1" applyFont="1" applyAlignment="1">
      <alignment horizontal="center" vertical="top" wrapText="1"/>
    </xf>
    <xf numFmtId="164" fontId="8" fillId="0" borderId="0" xfId="0" applyNumberFormat="1" applyFont="1" applyAlignment="1">
      <alignment horizontal="center" vertical="center" wrapText="1"/>
    </xf>
    <xf numFmtId="0" fontId="9" fillId="0" borderId="1" xfId="0" applyFont="1" applyBorder="1" applyAlignment="1">
      <alignment horizontal="center" vertical="center" wrapText="1"/>
    </xf>
    <xf numFmtId="0" fontId="9" fillId="7"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10" xfId="0" applyFont="1" applyFill="1" applyBorder="1" applyAlignment="1">
      <alignment horizontal="center" vertical="center"/>
    </xf>
    <xf numFmtId="0" fontId="13" fillId="5" borderId="8"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13" fillId="4" borderId="8" xfId="0" applyFont="1" applyFill="1" applyBorder="1" applyAlignment="1">
      <alignment horizontal="center" vertical="center" wrapText="1"/>
    </xf>
    <xf numFmtId="0" fontId="13" fillId="4" borderId="11" xfId="0" applyFont="1" applyFill="1" applyBorder="1" applyAlignment="1">
      <alignment horizontal="center" vertical="center" wrapText="1"/>
    </xf>
    <xf numFmtId="16" fontId="9" fillId="0" borderId="12" xfId="0" applyNumberFormat="1" applyFont="1" applyBorder="1" applyAlignment="1">
      <alignment horizontal="center" vertical="center" wrapText="1"/>
    </xf>
    <xf numFmtId="0" fontId="9" fillId="0" borderId="12" xfId="0" applyFont="1" applyBorder="1" applyAlignment="1">
      <alignment horizontal="center" vertical="center" wrapText="1"/>
    </xf>
    <xf numFmtId="0" fontId="8" fillId="7" borderId="13" xfId="0" applyFont="1" applyFill="1" applyBorder="1" applyAlignment="1">
      <alignment horizontal="center" vertical="center" wrapText="1"/>
    </xf>
    <xf numFmtId="0" fontId="9" fillId="9" borderId="14" xfId="0" applyFont="1" applyFill="1" applyBorder="1" applyAlignment="1">
      <alignment vertical="center"/>
    </xf>
    <xf numFmtId="0" fontId="9" fillId="7" borderId="14" xfId="0" applyFont="1" applyFill="1" applyBorder="1" applyAlignment="1">
      <alignment horizontal="center" vertical="center" wrapText="1"/>
    </xf>
    <xf numFmtId="0" fontId="9" fillId="7" borderId="14" xfId="0" applyFont="1" applyFill="1" applyBorder="1" applyAlignment="1">
      <alignment horizontal="center" vertical="center"/>
    </xf>
    <xf numFmtId="0" fontId="13" fillId="4" borderId="15" xfId="0" applyFont="1" applyFill="1" applyBorder="1" applyAlignment="1">
      <alignment horizontal="center" vertical="center" wrapText="1"/>
    </xf>
    <xf numFmtId="0" fontId="9" fillId="0" borderId="1" xfId="0" applyFont="1" applyBorder="1" applyAlignment="1">
      <alignment vertical="center"/>
    </xf>
    <xf numFmtId="0" fontId="9" fillId="9" borderId="14" xfId="0" applyFont="1" applyFill="1" applyBorder="1" applyAlignment="1">
      <alignment horizontal="center" vertical="center" wrapText="1"/>
    </xf>
    <xf numFmtId="0" fontId="9" fillId="0" borderId="18" xfId="0" applyFont="1" applyBorder="1" applyAlignment="1">
      <alignment horizontal="center" vertical="center" wrapText="1"/>
    </xf>
    <xf numFmtId="0" fontId="9" fillId="0" borderId="14" xfId="0" applyFont="1" applyBorder="1" applyAlignment="1">
      <alignment horizontal="center" vertical="center" wrapText="1"/>
    </xf>
    <xf numFmtId="0" fontId="13" fillId="6" borderId="15" xfId="0" applyFont="1" applyFill="1" applyBorder="1" applyAlignment="1">
      <alignment horizontal="center" vertical="center" wrapText="1"/>
    </xf>
    <xf numFmtId="16" fontId="9" fillId="8" borderId="16" xfId="0" applyNumberFormat="1"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16" fontId="9" fillId="10" borderId="1" xfId="0" applyNumberFormat="1" applyFont="1" applyFill="1" applyBorder="1" applyAlignment="1">
      <alignment horizontal="center" vertical="center" wrapText="1"/>
    </xf>
    <xf numFmtId="0" fontId="11" fillId="10" borderId="1" xfId="0" applyFont="1" applyFill="1" applyBorder="1" applyAlignment="1">
      <alignment horizontal="center" vertical="center" wrapText="1"/>
    </xf>
    <xf numFmtId="0" fontId="9" fillId="10" borderId="14"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10" borderId="14" xfId="0" applyFont="1" applyFill="1" applyBorder="1" applyAlignment="1">
      <alignment horizontal="center" vertical="center" wrapText="1"/>
    </xf>
    <xf numFmtId="16" fontId="9" fillId="11" borderId="1" xfId="0" applyNumberFormat="1" applyFont="1" applyFill="1" applyBorder="1" applyAlignment="1">
      <alignment horizontal="center" vertical="center" wrapText="1"/>
    </xf>
    <xf numFmtId="0" fontId="11" fillId="11"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11" borderId="14" xfId="0" applyFont="1" applyFill="1" applyBorder="1" applyAlignment="1">
      <alignment horizontal="center" vertical="center" wrapText="1"/>
    </xf>
    <xf numFmtId="0" fontId="0" fillId="12" borderId="0" xfId="0" applyFill="1"/>
    <xf numFmtId="0" fontId="14" fillId="13" borderId="22" xfId="0" applyFont="1" applyFill="1" applyBorder="1" applyAlignment="1">
      <alignment horizontal="center" vertical="center" wrapText="1"/>
    </xf>
    <xf numFmtId="0" fontId="14" fillId="14" borderId="22" xfId="0" applyFont="1" applyFill="1" applyBorder="1" applyAlignment="1">
      <alignment horizontal="center" vertical="center" wrapText="1"/>
    </xf>
    <xf numFmtId="0" fontId="16" fillId="13" borderId="23" xfId="0" applyFont="1" applyFill="1" applyBorder="1" applyAlignment="1">
      <alignment horizontal="center" vertical="center" wrapText="1"/>
    </xf>
    <xf numFmtId="0" fontId="17" fillId="13" borderId="24"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8" fillId="13" borderId="23"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9" fillId="13" borderId="1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12" borderId="0" xfId="0" applyFill="1" applyAlignment="1">
      <alignment vertical="center"/>
    </xf>
    <xf numFmtId="0" fontId="0" fillId="12" borderId="0" xfId="0" applyFill="1" applyAlignment="1">
      <alignment horizontal="center" vertical="center"/>
    </xf>
    <xf numFmtId="0" fontId="21" fillId="15" borderId="26" xfId="0" applyFont="1" applyFill="1" applyBorder="1" applyAlignment="1">
      <alignment horizontal="center" vertical="center" wrapText="1"/>
    </xf>
    <xf numFmtId="0" fontId="21" fillId="15" borderId="25" xfId="0" applyFont="1" applyFill="1" applyBorder="1" applyAlignment="1">
      <alignment horizontal="center" vertical="center" wrapText="1"/>
    </xf>
    <xf numFmtId="0" fontId="24" fillId="15" borderId="2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5" fillId="15" borderId="2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2" fillId="15" borderId="23"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2" fillId="15" borderId="1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2" fillId="15" borderId="25" xfId="0" applyFont="1" applyFill="1" applyBorder="1" applyAlignment="1">
      <alignment horizontal="center" vertical="center" wrapText="1"/>
    </xf>
    <xf numFmtId="0" fontId="20" fillId="15" borderId="26" xfId="0" applyFont="1" applyFill="1" applyBorder="1" applyAlignment="1">
      <alignment horizontal="center" vertical="center" wrapText="1"/>
    </xf>
    <xf numFmtId="0" fontId="23" fillId="12" borderId="28" xfId="0" applyFont="1" applyFill="1" applyBorder="1"/>
    <xf numFmtId="0" fontId="23" fillId="12" borderId="0" xfId="0" applyFont="1" applyFill="1"/>
    <xf numFmtId="0" fontId="23" fillId="12" borderId="0" xfId="0" applyFont="1" applyFill="1" applyAlignment="1">
      <alignment horizontal="center"/>
    </xf>
    <xf numFmtId="0" fontId="27" fillId="16" borderId="1" xfId="0" applyFont="1" applyFill="1" applyBorder="1" applyAlignment="1">
      <alignment horizontal="center" vertical="center"/>
    </xf>
    <xf numFmtId="0" fontId="27" fillId="15" borderId="1" xfId="0" applyFont="1" applyFill="1" applyBorder="1" applyAlignment="1">
      <alignment horizontal="center" vertical="center"/>
    </xf>
    <xf numFmtId="0" fontId="0" fillId="12" borderId="0" xfId="0" applyFill="1" applyAlignment="1">
      <alignment horizontal="center"/>
    </xf>
    <xf numFmtId="0" fontId="14" fillId="17" borderId="19" xfId="0" applyFont="1" applyFill="1" applyBorder="1" applyAlignment="1">
      <alignment horizontal="right" vertical="center" wrapText="1"/>
    </xf>
    <xf numFmtId="0" fontId="15" fillId="17" borderId="20" xfId="0" applyFont="1" applyFill="1" applyBorder="1" applyAlignment="1">
      <alignment vertical="center" wrapText="1"/>
    </xf>
    <xf numFmtId="0" fontId="15" fillId="17" borderId="21" xfId="0" applyFont="1" applyFill="1" applyBorder="1" applyAlignment="1">
      <alignment vertical="center" wrapText="1"/>
    </xf>
    <xf numFmtId="0" fontId="21" fillId="18" borderId="26" xfId="0" applyFont="1" applyFill="1" applyBorder="1" applyAlignment="1">
      <alignment horizontal="center" vertical="center" wrapText="1"/>
    </xf>
    <xf numFmtId="0" fontId="20" fillId="18" borderId="24" xfId="0" applyFont="1" applyFill="1" applyBorder="1" applyAlignment="1">
      <alignment horizontal="center" vertical="center" wrapText="1"/>
    </xf>
    <xf numFmtId="0" fontId="22" fillId="18" borderId="25" xfId="0" applyFont="1" applyFill="1" applyBorder="1" applyAlignment="1">
      <alignment horizontal="center" vertical="center" wrapText="1"/>
    </xf>
    <xf numFmtId="0" fontId="24" fillId="18" borderId="2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5" fillId="18" borderId="2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2" fillId="18" borderId="23"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0" fillId="18" borderId="25" xfId="0" applyFont="1" applyFill="1" applyBorder="1" applyAlignment="1">
      <alignment horizontal="center" vertical="center" wrapText="1"/>
    </xf>
    <xf numFmtId="0" fontId="22" fillId="18" borderId="1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1" fillId="18" borderId="24" xfId="0" applyFont="1" applyFill="1" applyBorder="1" applyAlignment="1">
      <alignment horizontal="center" vertical="center" wrapText="1"/>
    </xf>
    <xf numFmtId="0" fontId="22" fillId="18" borderId="23" xfId="0" applyFont="1" applyFill="1" applyBorder="1" applyAlignment="1">
      <alignment horizontal="center" vertical="center" wrapText="1"/>
    </xf>
    <xf numFmtId="0" fontId="21" fillId="18" borderId="23" xfId="0" applyFont="1" applyFill="1" applyBorder="1" applyAlignment="1">
      <alignment horizontal="center" vertical="center" wrapText="1"/>
    </xf>
    <xf numFmtId="0" fontId="21" fillId="18" borderId="25"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15" fillId="17" borderId="20" xfId="0" applyFont="1" applyFill="1" applyBorder="1" applyAlignment="1">
      <alignment horizontal="left" vertical="center" wrapText="1"/>
    </xf>
    <xf numFmtId="0" fontId="15" fillId="17" borderId="21" xfId="0" applyFont="1" applyFill="1" applyBorder="1" applyAlignment="1">
      <alignment horizontal="left" vertical="center" wrapText="1"/>
    </xf>
    <xf numFmtId="0" fontId="20" fillId="18" borderId="25" xfId="0" applyFont="1" applyFill="1" applyBorder="1" applyAlignment="1">
      <alignment horizontal="left" vertical="center" wrapText="1"/>
    </xf>
    <xf numFmtId="0" fontId="20" fillId="18" borderId="12" xfId="0" applyFont="1" applyFill="1" applyBorder="1" applyAlignment="1">
      <alignment horizontal="left" vertical="center" wrapText="1"/>
    </xf>
    <xf numFmtId="0" fontId="23" fillId="18" borderId="1" xfId="0" applyFont="1" applyFill="1" applyBorder="1" applyAlignment="1">
      <alignment horizontal="center" vertical="center"/>
    </xf>
    <xf numFmtId="0" fontId="23" fillId="18" borderId="1" xfId="0" applyFont="1" applyFill="1" applyBorder="1" applyAlignment="1">
      <alignment horizontal="left" vertical="center"/>
    </xf>
    <xf numFmtId="0" fontId="20" fillId="15" borderId="25" xfId="0" applyFont="1" applyFill="1" applyBorder="1" applyAlignment="1">
      <alignment horizontal="left" vertical="center" wrapText="1"/>
    </xf>
    <xf numFmtId="0" fontId="20" fillId="15" borderId="12" xfId="0" applyFont="1" applyFill="1" applyBorder="1" applyAlignment="1">
      <alignment horizontal="left" vertical="center" wrapText="1"/>
    </xf>
    <xf numFmtId="0" fontId="23" fillId="15" borderId="1" xfId="0" applyFont="1" applyFill="1" applyBorder="1" applyAlignment="1">
      <alignment horizontal="center" vertical="center"/>
    </xf>
    <xf numFmtId="0" fontId="23" fillId="15" borderId="1" xfId="0" applyFont="1" applyFill="1" applyBorder="1" applyAlignment="1">
      <alignment horizontal="left" vertical="center"/>
    </xf>
  </cellXfs>
  <cellStyles count="2">
    <cellStyle name="Normal" xfId="0" builtinId="0"/>
    <cellStyle name="Standaard 2" xfId="1" xr:uid="{6C061828-7177-4371-B359-8DC09589D478}"/>
  </cellStyles>
  <dxfs count="3">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1</xdr:col>
      <xdr:colOff>147205</xdr:colOff>
      <xdr:row>1</xdr:row>
      <xdr:rowOff>95250</xdr:rowOff>
    </xdr:from>
    <xdr:to>
      <xdr:col>3</xdr:col>
      <xdr:colOff>172994</xdr:colOff>
      <xdr:row>2</xdr:row>
      <xdr:rowOff>111973</xdr:rowOff>
    </xdr:to>
    <xdr:pic>
      <xdr:nvPicPr>
        <xdr:cNvPr id="9" name="logo_first_pag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5155" y="177800"/>
          <a:ext cx="861483" cy="32152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topLeftCell="A4" zoomScale="235" zoomScaleNormal="235" workbookViewId="0">
      <selection activeCell="A5" sqref="A5"/>
    </sheetView>
  </sheetViews>
  <sheetFormatPr defaultColWidth="9.140625" defaultRowHeight="12.75" x14ac:dyDescent="0.2"/>
  <cols>
    <col min="1" max="1" width="1.5703125" customWidth="1"/>
    <col min="2" max="2" width="6.140625" customWidth="1"/>
    <col min="3" max="3" width="5.7109375" style="15" customWidth="1"/>
    <col min="4" max="4" width="16.140625" style="11" customWidth="1"/>
    <col min="5" max="5" width="5.7109375" style="15" customWidth="1"/>
    <col min="6" max="6" width="8.28515625" style="11" customWidth="1"/>
    <col min="7" max="7" width="5.7109375" style="15" customWidth="1"/>
    <col min="8" max="8" width="8.28515625" style="11" customWidth="1"/>
    <col min="9" max="9" width="5.7109375" style="15" customWidth="1"/>
    <col min="10" max="10" width="14.85546875" style="11" customWidth="1"/>
    <col min="11" max="11" width="5.7109375" style="15" customWidth="1"/>
    <col min="12" max="12" width="17.7109375" style="11" customWidth="1"/>
    <col min="13" max="13" width="1.7109375" customWidth="1"/>
    <col min="14" max="16" width="10.140625" bestFit="1" customWidth="1"/>
    <col min="17" max="17" width="47.7109375" customWidth="1"/>
    <col min="18" max="20" width="10.140625" bestFit="1" customWidth="1"/>
  </cols>
  <sheetData>
    <row r="1" spans="1:14" ht="6.75" customHeight="1" thickBot="1" x14ac:dyDescent="0.25"/>
    <row r="2" spans="1:14" ht="24.6" customHeight="1" x14ac:dyDescent="0.2">
      <c r="A2" s="1"/>
      <c r="B2" s="99" t="s">
        <v>0</v>
      </c>
      <c r="C2" s="100"/>
      <c r="D2" s="100"/>
      <c r="E2" s="100"/>
      <c r="F2" s="100"/>
      <c r="G2" s="100"/>
      <c r="H2" s="100"/>
      <c r="I2" s="100"/>
      <c r="J2" s="100"/>
      <c r="K2" s="100"/>
      <c r="L2" s="101"/>
    </row>
    <row r="3" spans="1:14" ht="16.5" customHeight="1" thickBot="1" x14ac:dyDescent="0.25">
      <c r="A3" s="1"/>
      <c r="B3" s="102"/>
      <c r="C3" s="103"/>
      <c r="D3" s="103"/>
      <c r="E3" s="103"/>
      <c r="F3" s="103"/>
      <c r="G3" s="103"/>
      <c r="H3" s="103"/>
      <c r="I3" s="103"/>
      <c r="J3" s="103"/>
      <c r="K3" s="103"/>
      <c r="L3" s="104"/>
    </row>
    <row r="4" spans="1:14" ht="13.5" thickBot="1" x14ac:dyDescent="0.25">
      <c r="A4" s="1"/>
      <c r="B4" s="8" t="s">
        <v>1</v>
      </c>
      <c r="C4" s="16"/>
      <c r="D4" s="12"/>
      <c r="E4" s="16"/>
      <c r="F4" s="12"/>
      <c r="G4" s="16"/>
      <c r="H4" s="12"/>
      <c r="I4" s="16"/>
      <c r="J4" s="12"/>
      <c r="K4" s="16"/>
      <c r="L4" s="12"/>
    </row>
    <row r="5" spans="1:14" s="2" customFormat="1" ht="16.5" x14ac:dyDescent="0.15">
      <c r="A5" s="13"/>
      <c r="B5" s="38" t="s">
        <v>2</v>
      </c>
      <c r="C5" s="17" t="s">
        <v>3</v>
      </c>
      <c r="D5" s="28" t="s">
        <v>4</v>
      </c>
      <c r="E5" s="17" t="s">
        <v>3</v>
      </c>
      <c r="F5" s="28" t="s">
        <v>5</v>
      </c>
      <c r="G5" s="17" t="s">
        <v>3</v>
      </c>
      <c r="H5" s="28" t="s">
        <v>6</v>
      </c>
      <c r="I5" s="17" t="s">
        <v>3</v>
      </c>
      <c r="J5" s="28" t="s">
        <v>7</v>
      </c>
      <c r="K5" s="17" t="s">
        <v>3</v>
      </c>
      <c r="L5" s="29" t="s">
        <v>8</v>
      </c>
    </row>
    <row r="6" spans="1:14" s="2" customFormat="1" ht="9" x14ac:dyDescent="0.15">
      <c r="A6" s="13"/>
      <c r="B6" s="30">
        <v>10</v>
      </c>
      <c r="C6" s="18">
        <v>46125</v>
      </c>
      <c r="D6" s="31" t="s">
        <v>9</v>
      </c>
      <c r="E6" s="18">
        <v>46125</v>
      </c>
      <c r="F6" s="32"/>
      <c r="G6" s="18">
        <v>46126</v>
      </c>
      <c r="H6" s="33"/>
      <c r="I6" s="18">
        <v>46127</v>
      </c>
      <c r="J6" s="32"/>
      <c r="K6" s="18">
        <v>46128</v>
      </c>
      <c r="L6" s="39"/>
    </row>
    <row r="7" spans="1:14" s="2" customFormat="1" ht="24.75" customHeight="1" x14ac:dyDescent="0.15">
      <c r="A7" s="13"/>
      <c r="B7" s="30">
        <v>1</v>
      </c>
      <c r="C7" s="51">
        <v>46132</v>
      </c>
      <c r="D7" s="52" t="s">
        <v>10</v>
      </c>
      <c r="E7" s="19">
        <v>46133</v>
      </c>
      <c r="F7" s="25"/>
      <c r="G7" s="19">
        <v>46134</v>
      </c>
      <c r="H7" s="25"/>
      <c r="I7" s="51">
        <v>46135</v>
      </c>
      <c r="J7" s="52" t="s">
        <v>11</v>
      </c>
      <c r="K7" s="51">
        <v>46136</v>
      </c>
      <c r="L7" s="53" t="s">
        <v>12</v>
      </c>
    </row>
    <row r="8" spans="1:14" s="2" customFormat="1" ht="24.75" customHeight="1" x14ac:dyDescent="0.15">
      <c r="A8" s="13"/>
      <c r="B8" s="34"/>
      <c r="C8" s="20">
        <v>46139</v>
      </c>
      <c r="D8" s="26" t="s">
        <v>13</v>
      </c>
      <c r="E8" s="20">
        <v>46140</v>
      </c>
      <c r="F8" s="26"/>
      <c r="G8" s="20">
        <v>46141</v>
      </c>
      <c r="H8" s="26"/>
      <c r="I8" s="20">
        <v>46142</v>
      </c>
      <c r="J8" s="26"/>
      <c r="K8" s="20">
        <v>46143</v>
      </c>
      <c r="L8" s="40"/>
    </row>
    <row r="9" spans="1:14" s="2" customFormat="1" ht="24.75" customHeight="1" x14ac:dyDescent="0.15">
      <c r="A9" s="13"/>
      <c r="B9" s="34"/>
      <c r="C9" s="20">
        <v>46146</v>
      </c>
      <c r="D9" s="26"/>
      <c r="E9" s="20">
        <v>46147</v>
      </c>
      <c r="F9" s="26"/>
      <c r="G9" s="20">
        <v>46148</v>
      </c>
      <c r="H9" s="26"/>
      <c r="I9" s="20">
        <v>46149</v>
      </c>
      <c r="J9" s="26"/>
      <c r="K9" s="20">
        <v>46150</v>
      </c>
      <c r="L9" s="40"/>
      <c r="N9" s="14"/>
    </row>
    <row r="10" spans="1:14" s="2" customFormat="1" ht="24.75" customHeight="1" x14ac:dyDescent="0.15">
      <c r="B10" s="34">
        <v>2</v>
      </c>
      <c r="C10" s="57">
        <v>46153</v>
      </c>
      <c r="D10" s="58" t="s">
        <v>14</v>
      </c>
      <c r="E10" s="19">
        <v>46154</v>
      </c>
      <c r="F10" s="25"/>
      <c r="G10" s="19">
        <v>46155</v>
      </c>
      <c r="H10" s="25"/>
      <c r="I10" s="20">
        <v>46156</v>
      </c>
      <c r="J10" s="27" t="s">
        <v>15</v>
      </c>
      <c r="K10" s="20">
        <v>46157</v>
      </c>
      <c r="L10" s="41" t="s">
        <v>16</v>
      </c>
    </row>
    <row r="11" spans="1:14" s="2" customFormat="1" ht="24.75" customHeight="1" x14ac:dyDescent="0.15">
      <c r="A11" s="13"/>
      <c r="B11" s="34">
        <v>3</v>
      </c>
      <c r="C11" s="57">
        <v>46160</v>
      </c>
      <c r="D11" s="59" t="s">
        <v>17</v>
      </c>
      <c r="E11" s="19">
        <v>46161</v>
      </c>
      <c r="F11" s="25"/>
      <c r="G11" s="19">
        <v>46162</v>
      </c>
      <c r="H11" s="25"/>
      <c r="I11" s="57">
        <v>46163</v>
      </c>
      <c r="J11" s="59" t="s">
        <v>18</v>
      </c>
      <c r="K11" s="57">
        <v>46164</v>
      </c>
      <c r="L11" s="60" t="s">
        <v>19</v>
      </c>
    </row>
    <row r="12" spans="1:14" s="2" customFormat="1" ht="24.75" customHeight="1" x14ac:dyDescent="0.15">
      <c r="A12" s="13"/>
      <c r="B12" s="34">
        <v>4</v>
      </c>
      <c r="C12" s="20">
        <v>46167</v>
      </c>
      <c r="D12" s="26" t="s">
        <v>20</v>
      </c>
      <c r="E12" s="19">
        <v>46168</v>
      </c>
      <c r="F12" s="25"/>
      <c r="G12" s="19">
        <v>46169</v>
      </c>
      <c r="H12" s="25"/>
      <c r="I12" s="51">
        <v>46170</v>
      </c>
      <c r="J12" s="54" t="s">
        <v>21</v>
      </c>
      <c r="K12" s="51">
        <v>46171</v>
      </c>
      <c r="L12" s="53" t="s">
        <v>22</v>
      </c>
    </row>
    <row r="13" spans="1:14" s="2" customFormat="1" ht="24.75" customHeight="1" x14ac:dyDescent="0.15">
      <c r="A13" s="13"/>
      <c r="B13" s="34">
        <v>5</v>
      </c>
      <c r="C13" s="51">
        <v>46174</v>
      </c>
      <c r="D13" s="54" t="s">
        <v>23</v>
      </c>
      <c r="E13" s="19">
        <v>46175</v>
      </c>
      <c r="F13" s="43"/>
      <c r="G13" s="19">
        <v>46176</v>
      </c>
      <c r="H13" s="25"/>
      <c r="I13" s="51">
        <v>46177</v>
      </c>
      <c r="J13" s="55" t="s">
        <v>24</v>
      </c>
      <c r="K13" s="51">
        <v>46178</v>
      </c>
      <c r="L13" s="56" t="s">
        <v>25</v>
      </c>
    </row>
    <row r="14" spans="1:14" s="2" customFormat="1" ht="24.75" customHeight="1" x14ac:dyDescent="0.15">
      <c r="A14" s="13"/>
      <c r="B14" s="34">
        <v>6</v>
      </c>
      <c r="C14" s="51">
        <v>46181</v>
      </c>
      <c r="D14" s="54" t="s">
        <v>26</v>
      </c>
      <c r="E14" s="19">
        <v>46182</v>
      </c>
      <c r="F14" s="25"/>
      <c r="G14" s="19">
        <v>46183</v>
      </c>
      <c r="H14" s="25"/>
      <c r="I14" s="51">
        <v>46184</v>
      </c>
      <c r="J14" s="54" t="s">
        <v>27</v>
      </c>
      <c r="K14" s="51">
        <v>46185</v>
      </c>
      <c r="L14" s="56" t="s">
        <v>28</v>
      </c>
    </row>
    <row r="15" spans="1:14" s="2" customFormat="1" ht="24.75" customHeight="1" x14ac:dyDescent="0.15">
      <c r="A15" s="13"/>
      <c r="B15" s="34">
        <v>7</v>
      </c>
      <c r="C15" s="51">
        <v>46188</v>
      </c>
      <c r="D15" s="55" t="s">
        <v>29</v>
      </c>
      <c r="E15" s="19">
        <v>46189</v>
      </c>
      <c r="F15" s="25"/>
      <c r="G15" s="19">
        <v>46190</v>
      </c>
      <c r="H15" s="25"/>
      <c r="I15" s="51">
        <v>46191</v>
      </c>
      <c r="J15" s="54" t="s">
        <v>30</v>
      </c>
      <c r="K15" s="51">
        <v>46192</v>
      </c>
      <c r="L15" s="53" t="s">
        <v>31</v>
      </c>
    </row>
    <row r="16" spans="1:14" s="2" customFormat="1" ht="9.75" thickBot="1" x14ac:dyDescent="0.2">
      <c r="A16" s="13"/>
      <c r="B16" s="42">
        <v>8</v>
      </c>
      <c r="C16" s="18">
        <v>46195</v>
      </c>
      <c r="D16" s="31" t="s">
        <v>9</v>
      </c>
      <c r="E16" s="18">
        <v>46196</v>
      </c>
      <c r="F16" s="32"/>
      <c r="G16" s="18">
        <v>46197</v>
      </c>
      <c r="H16" s="32"/>
      <c r="I16" s="18">
        <v>46198</v>
      </c>
      <c r="J16" s="32"/>
      <c r="K16" s="18">
        <v>46199</v>
      </c>
      <c r="L16" s="44"/>
      <c r="N16" s="14"/>
    </row>
    <row r="17" spans="1:13" s="2" customFormat="1" ht="9" x14ac:dyDescent="0.15">
      <c r="A17" s="13"/>
      <c r="B17" s="35">
        <v>9</v>
      </c>
      <c r="C17" s="36">
        <v>46202</v>
      </c>
      <c r="D17" s="37"/>
      <c r="E17" s="36">
        <v>46203</v>
      </c>
      <c r="F17" s="37"/>
      <c r="G17" s="36">
        <v>46204</v>
      </c>
      <c r="H17" s="37"/>
      <c r="I17" s="36">
        <v>46205</v>
      </c>
      <c r="J17" s="37"/>
      <c r="K17" s="36">
        <v>46206</v>
      </c>
      <c r="L17" s="45"/>
    </row>
    <row r="18" spans="1:13" s="2" customFormat="1" ht="9" x14ac:dyDescent="0.15">
      <c r="B18" s="34">
        <v>10</v>
      </c>
      <c r="C18" s="19">
        <v>46209</v>
      </c>
      <c r="D18" s="25"/>
      <c r="E18" s="19">
        <v>46210</v>
      </c>
      <c r="F18" s="25"/>
      <c r="G18" s="19">
        <v>46211</v>
      </c>
      <c r="H18" s="25"/>
      <c r="I18" s="19">
        <v>46212</v>
      </c>
      <c r="J18" s="25"/>
      <c r="K18" s="19">
        <v>46213</v>
      </c>
      <c r="L18" s="46"/>
    </row>
    <row r="19" spans="1:13" s="2" customFormat="1" ht="17.25" thickBot="1" x14ac:dyDescent="0.2">
      <c r="A19" s="13"/>
      <c r="B19" s="47">
        <f t="shared" ref="B19" si="0">B18+1</f>
        <v>11</v>
      </c>
      <c r="C19" s="48">
        <v>46216</v>
      </c>
      <c r="D19" s="49" t="s">
        <v>32</v>
      </c>
      <c r="E19" s="48">
        <v>46217</v>
      </c>
      <c r="F19" s="49" t="s">
        <v>32</v>
      </c>
      <c r="G19" s="48">
        <v>46218</v>
      </c>
      <c r="H19" s="49" t="s">
        <v>32</v>
      </c>
      <c r="I19" s="48">
        <v>46219</v>
      </c>
      <c r="J19" s="49" t="s">
        <v>32</v>
      </c>
      <c r="K19" s="48">
        <v>46220</v>
      </c>
      <c r="L19" s="50" t="s">
        <v>32</v>
      </c>
    </row>
    <row r="20" spans="1:13" ht="12.75" customHeight="1" x14ac:dyDescent="0.2">
      <c r="A20" s="2"/>
      <c r="B20" s="3"/>
      <c r="C20" s="21"/>
      <c r="D20" s="9"/>
      <c r="E20" s="21"/>
      <c r="F20" s="9"/>
      <c r="G20" s="21"/>
      <c r="H20" s="9"/>
      <c r="I20" s="24"/>
      <c r="J20" s="9"/>
      <c r="K20" s="21"/>
      <c r="L20" s="9"/>
    </row>
    <row r="21" spans="1:13" x14ac:dyDescent="0.2">
      <c r="B21" s="4"/>
      <c r="D21" s="10"/>
      <c r="E21" s="23"/>
      <c r="F21" s="10"/>
      <c r="G21" s="23"/>
      <c r="H21" s="10"/>
      <c r="I21" s="23"/>
      <c r="J21" s="10"/>
      <c r="K21" s="23"/>
      <c r="L21" s="10"/>
      <c r="M21" s="5"/>
    </row>
    <row r="22" spans="1:13" s="7" customFormat="1" x14ac:dyDescent="0.2">
      <c r="B22" s="4"/>
      <c r="C22" s="22"/>
      <c r="D22" s="9"/>
      <c r="E22" s="21"/>
      <c r="F22" s="9"/>
      <c r="G22" s="21"/>
      <c r="H22" s="9"/>
      <c r="I22" s="21"/>
      <c r="J22" s="9"/>
      <c r="K22" s="21"/>
      <c r="L22" s="9"/>
    </row>
    <row r="23" spans="1:13" ht="15" x14ac:dyDescent="0.2">
      <c r="B23" s="6"/>
      <c r="D23" s="10"/>
      <c r="E23" s="23"/>
      <c r="F23" s="10"/>
      <c r="G23" s="23"/>
      <c r="H23" s="10"/>
      <c r="I23" s="23"/>
      <c r="J23" s="10"/>
      <c r="K23" s="23"/>
      <c r="L23" s="10"/>
    </row>
  </sheetData>
  <mergeCells count="1">
    <mergeCell ref="B2:L3"/>
  </mergeCells>
  <phoneticPr fontId="4" type="noConversion"/>
  <printOptions horizontalCentered="1" verticalCentered="1" gridLines="1"/>
  <pageMargins left="0.23622047244094491" right="0.23622047244094491" top="0.74803149606299213" bottom="0.74803149606299213" header="0.31496062992125984" footer="0.31496062992125984"/>
  <pageSetup paperSize="9" scale="125" fitToWidth="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09FD-D214-4052-8430-999078FE1549}">
  <dimension ref="B2:H26"/>
  <sheetViews>
    <sheetView tabSelected="1" topLeftCell="A16" zoomScale="145" zoomScaleNormal="145" workbookViewId="0">
      <selection activeCell="H24" sqref="H24:H25"/>
    </sheetView>
  </sheetViews>
  <sheetFormatPr defaultColWidth="8.7109375" defaultRowHeight="12.75" x14ac:dyDescent="0.2"/>
  <cols>
    <col min="1" max="1" width="2.42578125" style="61" customWidth="1"/>
    <col min="2" max="2" width="17.5703125" style="61" bestFit="1" customWidth="1"/>
    <col min="3" max="3" width="10.85546875" style="61" hidden="1" customWidth="1"/>
    <col min="4" max="4" width="38.85546875" style="83" customWidth="1"/>
    <col min="5" max="5" width="42.7109375" style="83" customWidth="1"/>
    <col min="6" max="6" width="43.28515625" style="83" customWidth="1"/>
    <col min="7" max="7" width="6.5703125" style="61" customWidth="1"/>
    <col min="8" max="8" width="56.140625" style="61" customWidth="1"/>
    <col min="9" max="16384" width="8.7109375" style="61"/>
  </cols>
  <sheetData>
    <row r="2" spans="2:8" ht="14.1" customHeight="1" x14ac:dyDescent="0.2">
      <c r="B2" s="84" t="s">
        <v>33</v>
      </c>
      <c r="C2" s="105" t="s">
        <v>34</v>
      </c>
      <c r="D2" s="106"/>
      <c r="E2" s="84" t="s">
        <v>35</v>
      </c>
      <c r="F2" s="85" t="s">
        <v>36</v>
      </c>
      <c r="G2" s="85"/>
      <c r="H2" s="86"/>
    </row>
    <row r="3" spans="2:8" x14ac:dyDescent="0.2">
      <c r="B3" s="62" t="s">
        <v>37</v>
      </c>
      <c r="C3" s="63" t="s">
        <v>38</v>
      </c>
      <c r="D3" s="64" t="s">
        <v>39</v>
      </c>
      <c r="E3" s="65" t="s">
        <v>40</v>
      </c>
      <c r="F3" s="66" t="s">
        <v>41</v>
      </c>
      <c r="G3" s="67" t="s">
        <v>42</v>
      </c>
      <c r="H3" s="67" t="s">
        <v>43</v>
      </c>
    </row>
    <row r="4" spans="2:8" s="68" customFormat="1" ht="24" x14ac:dyDescent="0.2">
      <c r="B4" s="107" t="s">
        <v>44</v>
      </c>
      <c r="C4" s="87" t="s">
        <v>38</v>
      </c>
      <c r="D4" s="88" t="s">
        <v>45</v>
      </c>
      <c r="E4" s="88" t="s">
        <v>46</v>
      </c>
      <c r="F4" s="89" t="s">
        <v>47</v>
      </c>
      <c r="G4" s="109">
        <f>IF(C5=TRUE,0,IF(D5=TRUE,1,IF(E5=TRUE,2,IF(F5=TRUE,3,"leeg"))))</f>
        <v>3</v>
      </c>
      <c r="H4" s="110" t="s">
        <v>87</v>
      </c>
    </row>
    <row r="5" spans="2:8" s="69" customFormat="1" x14ac:dyDescent="0.2">
      <c r="B5" s="108"/>
      <c r="C5" s="90" t="b">
        <v>0</v>
      </c>
      <c r="D5" s="90" t="b">
        <v>0</v>
      </c>
      <c r="E5" s="91" t="b">
        <v>0</v>
      </c>
      <c r="F5" s="92" t="b">
        <v>1</v>
      </c>
      <c r="G5" s="109"/>
      <c r="H5" s="110"/>
    </row>
    <row r="6" spans="2:8" s="68" customFormat="1" ht="15" customHeight="1" x14ac:dyDescent="0.2">
      <c r="B6" s="111" t="s">
        <v>48</v>
      </c>
      <c r="C6" s="70" t="s">
        <v>38</v>
      </c>
      <c r="D6" s="70" t="s">
        <v>49</v>
      </c>
      <c r="E6" s="70" t="s">
        <v>50</v>
      </c>
      <c r="F6" s="71" t="s">
        <v>51</v>
      </c>
      <c r="G6" s="113">
        <f t="shared" ref="G6" si="0">IF(C7=TRUE,0,IF(D7=TRUE,1,IF(E7=TRUE,2,IF(F7=TRUE,3,"leeg"))))</f>
        <v>2</v>
      </c>
      <c r="H6" s="114" t="s">
        <v>84</v>
      </c>
    </row>
    <row r="7" spans="2:8" s="68" customFormat="1" x14ac:dyDescent="0.2">
      <c r="B7" s="112"/>
      <c r="C7" s="72" t="b">
        <v>0</v>
      </c>
      <c r="D7" s="72" t="b">
        <v>0</v>
      </c>
      <c r="E7" s="73" t="b">
        <v>1</v>
      </c>
      <c r="F7" s="74" t="b">
        <v>0</v>
      </c>
      <c r="G7" s="113"/>
      <c r="H7" s="114"/>
    </row>
    <row r="8" spans="2:8" s="68" customFormat="1" ht="36" x14ac:dyDescent="0.2">
      <c r="B8" s="107" t="s">
        <v>52</v>
      </c>
      <c r="C8" s="87" t="s">
        <v>38</v>
      </c>
      <c r="D8" s="88" t="s">
        <v>53</v>
      </c>
      <c r="E8" s="88" t="s">
        <v>54</v>
      </c>
      <c r="F8" s="93" t="s">
        <v>55</v>
      </c>
      <c r="G8" s="109">
        <f t="shared" ref="G8" si="1">IF(C9=TRUE,0,IF(D9=TRUE,1,IF(E9=TRUE,2,IF(F9=TRUE,3,"leeg"))))</f>
        <v>2</v>
      </c>
      <c r="H8" s="110" t="s">
        <v>85</v>
      </c>
    </row>
    <row r="9" spans="2:8" s="68" customFormat="1" x14ac:dyDescent="0.2">
      <c r="B9" s="108"/>
      <c r="C9" s="90" t="b">
        <v>0</v>
      </c>
      <c r="D9" s="90" t="b">
        <v>0</v>
      </c>
      <c r="E9" s="91" t="b">
        <v>1</v>
      </c>
      <c r="F9" s="94" t="b">
        <v>1</v>
      </c>
      <c r="G9" s="109"/>
      <c r="H9" s="110"/>
    </row>
    <row r="10" spans="2:8" s="68" customFormat="1" ht="24" x14ac:dyDescent="0.2">
      <c r="B10" s="111" t="s">
        <v>56</v>
      </c>
      <c r="C10" s="70" t="s">
        <v>38</v>
      </c>
      <c r="D10" s="70" t="s">
        <v>57</v>
      </c>
      <c r="E10" s="70" t="s">
        <v>58</v>
      </c>
      <c r="F10" s="71" t="s">
        <v>59</v>
      </c>
      <c r="G10" s="113">
        <f t="shared" ref="G10" si="2">IF(C11=TRUE,0,IF(D11=TRUE,1,IF(E11=TRUE,2,IF(F11=TRUE,3,"leeg"))))</f>
        <v>2</v>
      </c>
      <c r="H10" s="114" t="s">
        <v>86</v>
      </c>
    </row>
    <row r="11" spans="2:8" s="68" customFormat="1" x14ac:dyDescent="0.2">
      <c r="B11" s="112"/>
      <c r="C11" s="72" t="b">
        <v>0</v>
      </c>
      <c r="D11" s="72" t="b">
        <v>0</v>
      </c>
      <c r="E11" s="73" t="b">
        <v>1</v>
      </c>
      <c r="F11" s="75" t="b">
        <v>0</v>
      </c>
      <c r="G11" s="113"/>
      <c r="H11" s="114"/>
    </row>
    <row r="12" spans="2:8" s="68" customFormat="1" x14ac:dyDescent="0.2">
      <c r="B12" s="107" t="s">
        <v>60</v>
      </c>
      <c r="C12" s="87" t="s">
        <v>38</v>
      </c>
      <c r="D12" s="95" t="s">
        <v>61</v>
      </c>
      <c r="E12" s="95" t="s">
        <v>62</v>
      </c>
      <c r="F12" s="96" t="s">
        <v>63</v>
      </c>
      <c r="G12" s="109">
        <f t="shared" ref="G12" si="3">IF(C13=TRUE,0,IF(D13=TRUE,1,IF(E13=TRUE,2,IF(F13=TRUE,3,"leeg"))))</f>
        <v>1</v>
      </c>
      <c r="H12" s="110" t="s">
        <v>88</v>
      </c>
    </row>
    <row r="13" spans="2:8" s="68" customFormat="1" x14ac:dyDescent="0.2">
      <c r="B13" s="108"/>
      <c r="C13" s="90" t="b">
        <v>0</v>
      </c>
      <c r="D13" s="90" t="b">
        <v>1</v>
      </c>
      <c r="E13" s="91" t="b">
        <v>0</v>
      </c>
      <c r="F13" s="92" t="b">
        <v>0</v>
      </c>
      <c r="G13" s="109"/>
      <c r="H13" s="110"/>
    </row>
    <row r="14" spans="2:8" s="68" customFormat="1" ht="24" x14ac:dyDescent="0.2">
      <c r="B14" s="111" t="s">
        <v>64</v>
      </c>
      <c r="C14" s="70" t="s">
        <v>38</v>
      </c>
      <c r="D14" s="70" t="s">
        <v>65</v>
      </c>
      <c r="E14" s="70" t="s">
        <v>66</v>
      </c>
      <c r="F14" s="76" t="s">
        <v>67</v>
      </c>
      <c r="G14" s="113">
        <f t="shared" ref="G14" si="4">IF(C15=TRUE,0,IF(D15=TRUE,1,IF(E15=TRUE,2,IF(F15=TRUE,3,"leeg"))))</f>
        <v>1</v>
      </c>
      <c r="H14" s="114" t="s">
        <v>91</v>
      </c>
    </row>
    <row r="15" spans="2:8" s="68" customFormat="1" x14ac:dyDescent="0.2">
      <c r="B15" s="112"/>
      <c r="C15" s="72" t="b">
        <v>0</v>
      </c>
      <c r="D15" s="72" t="b">
        <v>1</v>
      </c>
      <c r="E15" s="73" t="b">
        <v>0</v>
      </c>
      <c r="F15" s="75" t="b">
        <v>0</v>
      </c>
      <c r="G15" s="113"/>
      <c r="H15" s="114"/>
    </row>
    <row r="16" spans="2:8" s="68" customFormat="1" ht="24" x14ac:dyDescent="0.2">
      <c r="B16" s="107" t="s">
        <v>68</v>
      </c>
      <c r="C16" s="87" t="s">
        <v>38</v>
      </c>
      <c r="D16" s="95" t="s">
        <v>65</v>
      </c>
      <c r="E16" s="95" t="s">
        <v>66</v>
      </c>
      <c r="F16" s="96" t="s">
        <v>69</v>
      </c>
      <c r="G16" s="109">
        <f t="shared" ref="G16" si="5">IF(C17=TRUE,0,IF(D17=TRUE,1,IF(E17=TRUE,2,IF(F17=TRUE,3,"leeg"))))</f>
        <v>1</v>
      </c>
      <c r="H16" s="110" t="s">
        <v>90</v>
      </c>
    </row>
    <row r="17" spans="2:8" s="68" customFormat="1" x14ac:dyDescent="0.2">
      <c r="B17" s="108"/>
      <c r="C17" s="90" t="b">
        <v>0</v>
      </c>
      <c r="D17" s="90" t="b">
        <v>1</v>
      </c>
      <c r="E17" s="91" t="b">
        <v>0</v>
      </c>
      <c r="F17" s="92" t="b">
        <v>0</v>
      </c>
      <c r="G17" s="109"/>
      <c r="H17" s="110"/>
    </row>
    <row r="18" spans="2:8" s="68" customFormat="1" ht="24" x14ac:dyDescent="0.2">
      <c r="B18" s="111" t="s">
        <v>70</v>
      </c>
      <c r="C18" s="70" t="s">
        <v>38</v>
      </c>
      <c r="D18" s="70" t="s">
        <v>65</v>
      </c>
      <c r="E18" s="70" t="s">
        <v>66</v>
      </c>
      <c r="F18" s="76" t="s">
        <v>69</v>
      </c>
      <c r="G18" s="113">
        <f t="shared" ref="G18" si="6">IF(C19=TRUE,0,IF(D19=TRUE,1,IF(E19=TRUE,2,IF(F19=TRUE,3,"leeg"))))</f>
        <v>1</v>
      </c>
      <c r="H18" s="114" t="s">
        <v>89</v>
      </c>
    </row>
    <row r="19" spans="2:8" s="68" customFormat="1" x14ac:dyDescent="0.2">
      <c r="B19" s="112"/>
      <c r="C19" s="72" t="b">
        <v>0</v>
      </c>
      <c r="D19" s="72" t="b">
        <v>1</v>
      </c>
      <c r="E19" s="73" t="b">
        <v>0</v>
      </c>
      <c r="F19" s="75" t="b">
        <v>0</v>
      </c>
      <c r="G19" s="113"/>
      <c r="H19" s="114"/>
    </row>
    <row r="20" spans="2:8" s="68" customFormat="1" ht="24" x14ac:dyDescent="0.2">
      <c r="B20" s="107" t="s">
        <v>71</v>
      </c>
      <c r="C20" s="87" t="s">
        <v>38</v>
      </c>
      <c r="D20" s="95" t="s">
        <v>72</v>
      </c>
      <c r="E20" s="95" t="s">
        <v>73</v>
      </c>
      <c r="F20" s="97" t="s">
        <v>74</v>
      </c>
      <c r="G20" s="109">
        <f t="shared" ref="G20" si="7">IF(C21=TRUE,0,IF(D21=TRUE,1,IF(E21=TRUE,2,IF(F21=TRUE,3,"leeg"))))</f>
        <v>1</v>
      </c>
      <c r="H20" s="110" t="s">
        <v>92</v>
      </c>
    </row>
    <row r="21" spans="2:8" s="68" customFormat="1" x14ac:dyDescent="0.2">
      <c r="B21" s="108"/>
      <c r="C21" s="90" t="b">
        <v>0</v>
      </c>
      <c r="D21" s="90" t="b">
        <v>1</v>
      </c>
      <c r="E21" s="91" t="b">
        <v>0</v>
      </c>
      <c r="F21" s="92" t="b">
        <v>0</v>
      </c>
      <c r="G21" s="109"/>
      <c r="H21" s="110"/>
    </row>
    <row r="22" spans="2:8" s="68" customFormat="1" ht="24" x14ac:dyDescent="0.2">
      <c r="B22" s="111" t="s">
        <v>75</v>
      </c>
      <c r="C22" s="70" t="s">
        <v>38</v>
      </c>
      <c r="D22" s="77" t="s">
        <v>76</v>
      </c>
      <c r="E22" s="70" t="s">
        <v>77</v>
      </c>
      <c r="F22" s="71" t="s">
        <v>78</v>
      </c>
      <c r="G22" s="113">
        <f t="shared" ref="G22" si="8">IF(C23=TRUE,0,IF(D23=TRUE,1,IF(E23=TRUE,2,IF(F23=TRUE,3,"leeg"))))</f>
        <v>3</v>
      </c>
      <c r="H22" s="114" t="s">
        <v>93</v>
      </c>
    </row>
    <row r="23" spans="2:8" s="68" customFormat="1" x14ac:dyDescent="0.2">
      <c r="B23" s="112"/>
      <c r="C23" s="72" t="b">
        <v>0</v>
      </c>
      <c r="D23" s="72" t="b">
        <v>0</v>
      </c>
      <c r="E23" s="73" t="b">
        <v>0</v>
      </c>
      <c r="F23" s="74" t="b">
        <v>1</v>
      </c>
      <c r="G23" s="113"/>
      <c r="H23" s="114"/>
    </row>
    <row r="24" spans="2:8" s="68" customFormat="1" ht="24" x14ac:dyDescent="0.2">
      <c r="B24" s="107" t="s">
        <v>79</v>
      </c>
      <c r="C24" s="87" t="s">
        <v>38</v>
      </c>
      <c r="D24" s="87" t="s">
        <v>80</v>
      </c>
      <c r="E24" s="98" t="s">
        <v>81</v>
      </c>
      <c r="F24" s="98" t="s">
        <v>82</v>
      </c>
      <c r="G24" s="109">
        <f t="shared" ref="G24" si="9">IF(C25=TRUE,0,IF(D25=TRUE,1,IF(E25=TRUE,2,IF(F25=TRUE,3,"leeg"))))</f>
        <v>3</v>
      </c>
      <c r="H24" s="110" t="s">
        <v>94</v>
      </c>
    </row>
    <row r="25" spans="2:8" s="68" customFormat="1" x14ac:dyDescent="0.2">
      <c r="B25" s="108"/>
      <c r="C25" s="90" t="b">
        <v>0</v>
      </c>
      <c r="D25" s="90" t="b">
        <v>0</v>
      </c>
      <c r="E25" s="91" t="b">
        <v>0</v>
      </c>
      <c r="F25" s="92" t="b">
        <v>1</v>
      </c>
      <c r="G25" s="109"/>
      <c r="H25" s="110"/>
    </row>
    <row r="26" spans="2:8" ht="27.6" customHeight="1" x14ac:dyDescent="0.2">
      <c r="B26" s="78"/>
      <c r="C26" s="79"/>
      <c r="D26" s="80"/>
      <c r="E26" s="80"/>
      <c r="F26" s="81" t="s">
        <v>83</v>
      </c>
      <c r="G26" s="82" t="str">
        <f>IF(COUNTIFS(G4:G25,"leeg")&gt;0," ",IF(COUNTIFS(G4:G25,0)&gt;0,"O",IF(COUNTIFS(G4:G25,1)&gt;0,"O",IF(COUNTIFS(G4:G25,3)&gt;7,"G","V"))))</f>
        <v>O</v>
      </c>
      <c r="H26" s="79"/>
    </row>
  </sheetData>
  <mergeCells count="34">
    <mergeCell ref="B24:B25"/>
    <mergeCell ref="G24:G25"/>
    <mergeCell ref="H24:H25"/>
    <mergeCell ref="B20:B21"/>
    <mergeCell ref="G20:G21"/>
    <mergeCell ref="H20:H21"/>
    <mergeCell ref="B22:B23"/>
    <mergeCell ref="G22:G23"/>
    <mergeCell ref="H22:H23"/>
    <mergeCell ref="B16:B17"/>
    <mergeCell ref="G16:G17"/>
    <mergeCell ref="H16:H17"/>
    <mergeCell ref="B18:B19"/>
    <mergeCell ref="G18:G19"/>
    <mergeCell ref="H18:H19"/>
    <mergeCell ref="B12:B13"/>
    <mergeCell ref="G12:G13"/>
    <mergeCell ref="H12:H13"/>
    <mergeCell ref="B14:B15"/>
    <mergeCell ref="G14:G15"/>
    <mergeCell ref="H14:H15"/>
    <mergeCell ref="B8:B9"/>
    <mergeCell ref="G8:G9"/>
    <mergeCell ref="H8:H9"/>
    <mergeCell ref="B10:B11"/>
    <mergeCell ref="G10:G11"/>
    <mergeCell ref="H10:H11"/>
    <mergeCell ref="C2:D2"/>
    <mergeCell ref="B4:B5"/>
    <mergeCell ref="G4:G5"/>
    <mergeCell ref="H4:H5"/>
    <mergeCell ref="B6:B7"/>
    <mergeCell ref="G6:G7"/>
    <mergeCell ref="H6:H7"/>
  </mergeCells>
  <conditionalFormatting sqref="G26">
    <cfRule type="cellIs" dxfId="2" priority="1" operator="equal">
      <formula>"V"</formula>
    </cfRule>
    <cfRule type="cellIs" dxfId="1" priority="2" operator="equal">
      <formula>"G"</formula>
    </cfRule>
    <cfRule type="cellIs" dxfId="0" priority="3" operator="equal">
      <formula>"o"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37556A21C5704FADE0E77F73F01C11" ma:contentTypeVersion="11" ma:contentTypeDescription="Een nieuw document maken." ma:contentTypeScope="" ma:versionID="432f9c95925836925e153c50867c4655">
  <xsd:schema xmlns:xsd="http://www.w3.org/2001/XMLSchema" xmlns:xs="http://www.w3.org/2001/XMLSchema" xmlns:p="http://schemas.microsoft.com/office/2006/metadata/properties" xmlns:ns2="fedf7ced-9c7a-48f8-a07c-98a598b105da" xmlns:ns3="008856c5-5e82-4bb2-b94b-d933afeebe23" targetNamespace="http://schemas.microsoft.com/office/2006/metadata/properties" ma:root="true" ma:fieldsID="c13472ed60a2f699e077c98817263639" ns2:_="" ns3:_="">
    <xsd:import namespace="fedf7ced-9c7a-48f8-a07c-98a598b105da"/>
    <xsd:import namespace="008856c5-5e82-4bb2-b94b-d933afeebe23"/>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df7ced-9c7a-48f8-a07c-98a598b105da"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913d8191-1fa0-4b0e-82ea-9b3ed889c57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8856c5-5e82-4bb2-b94b-d933afeebe2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dc0fe0d-9128-4420-8534-3a95902df360}" ma:internalName="TaxCatchAll" ma:showField="CatchAllData" ma:web="008856c5-5e82-4bb2-b94b-d933afeebe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edf7ced-9c7a-48f8-a07c-98a598b105da">
      <Terms xmlns="http://schemas.microsoft.com/office/infopath/2007/PartnerControls"/>
    </lcf76f155ced4ddcb4097134ff3c332f>
    <TaxCatchAll xmlns="008856c5-5e82-4bb2-b94b-d933afeebe23" xsi:nil="true"/>
    <ReferenceId xmlns="fedf7ced-9c7a-48f8-a07c-98a598b105da" xsi:nil="true"/>
  </documentManagement>
</p:properties>
</file>

<file path=customXml/itemProps1.xml><?xml version="1.0" encoding="utf-8"?>
<ds:datastoreItem xmlns:ds="http://schemas.openxmlformats.org/officeDocument/2006/customXml" ds:itemID="{22955E41-5EBA-4849-A6EC-932D8CFA156C}">
  <ds:schemaRefs>
    <ds:schemaRef ds:uri="http://schemas.microsoft.com/sharepoint/v3/contenttype/forms"/>
  </ds:schemaRefs>
</ds:datastoreItem>
</file>

<file path=customXml/itemProps2.xml><?xml version="1.0" encoding="utf-8"?>
<ds:datastoreItem xmlns:ds="http://schemas.openxmlformats.org/officeDocument/2006/customXml" ds:itemID="{6B4AB550-864F-4778-A255-37767FF6E8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df7ced-9c7a-48f8-a07c-98a598b105da"/>
    <ds:schemaRef ds:uri="008856c5-5e82-4bb2-b94b-d933afeebe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D17981-A18F-4D0D-81EF-1093232EB82C}">
  <ds:schemaRefs>
    <ds:schemaRef ds:uri="http://schemas.microsoft.com/office/2006/metadata/properties"/>
    <ds:schemaRef ds:uri="http://schemas.microsoft.com/office/infopath/2007/PartnerControls"/>
    <ds:schemaRef ds:uri="fedf7ced-9c7a-48f8-a07c-98a598b105da"/>
    <ds:schemaRef ds:uri="008856c5-5e82-4bb2-b94b-d933afeebe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Planning</vt:lpstr>
      <vt:lpstr>Rubrics</vt:lpstr>
      <vt:lpstr>Planning!Print_Area</vt:lpstr>
    </vt:vector>
  </TitlesOfParts>
  <Manager/>
  <Company>ROC van Twente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pme01</dc:creator>
  <cp:keywords/>
  <dc:description/>
  <cp:lastModifiedBy>Daniël Freriksen</cp:lastModifiedBy>
  <cp:revision/>
  <dcterms:created xsi:type="dcterms:W3CDTF">2013-02-04T12:51:03Z</dcterms:created>
  <dcterms:modified xsi:type="dcterms:W3CDTF">2026-06-26T14:14:28Z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0x010100F037556A21C5704FADE0E77F73F01C11</vt:lpwstr>
  </property>
  <property fmtid="{D5CDD505-2E9C-101B-9397-08002B2CF9AE}" pid="3" name="MediaServiceImageTags">
    <vt:lpwstr/>
  </property>
</Properties>
</file>